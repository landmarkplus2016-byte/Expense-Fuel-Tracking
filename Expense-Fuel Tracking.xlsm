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10\Dropbox\Claude Projects\Visual Studio\Telecom Department\Expense-Fuel Tracking\"/>
    </mc:Choice>
  </mc:AlternateContent>
  <xr:revisionPtr revIDLastSave="0" documentId="13_ncr:1_{BF365D57-A495-481A-8ED9-F7B6300AE348}" xr6:coauthVersionLast="47" xr6:coauthVersionMax="47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List" sheetId="4" state="hidden" r:id="rId1"/>
    <sheet name="Expenses Tracking" sheetId="13" r:id="rId2"/>
    <sheet name="Fuel Tracking" sheetId="14" r:id="rId3"/>
  </sheets>
  <definedNames>
    <definedName name="_xlnm.Print_Area" localSheetId="1">'Expenses Tracking'!$A$1:$N$38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3" l="1"/>
  <c r="N5" i="14" l="1"/>
  <c r="L5" i="14"/>
  <c r="I5" i="14" l="1"/>
  <c r="C33" i="14" l="1"/>
  <c r="C36" i="1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" command="SELECT * FROM [Append1]"/>
  </connection>
  <connection id="2" xr16:uid="{00000000-0015-0000-FFFF-FFFF01000000}" keepAlive="1" name="Query - EXP Final" description="Connection to the 'EXP Final' query in the workbook." type="5" refreshedVersion="8" background="1" saveData="1">
    <dbPr connection="provider=Microsoft.Mashup.OleDb.1;data source=$Workbook$;location=&quot;EXP Final&quot;;extended properties=" command="SELECT * FROM [EXP Final]"/>
  </connection>
  <connection id="3" xr16:uid="{00000000-0015-0000-FFFF-FFFF02000000}" keepAlive="1" name="Query - EXPJCQ" description="Connection to the 'EXPJCQ' query in the workbook." type="5" refreshedVersion="8" background="1" saveData="1">
    <dbPr connection="provider=Microsoft.Mashup.OleDb.1;data source=$Workbook$;location=EXPJCQ;extended properties=" command="SELECT * FROM [EXPJCQ]"/>
  </connection>
  <connection id="4" xr16:uid="{00000000-0015-0000-FFFF-FFFF03000000}" keepAlive="1" name="Query - EXPQ" description="Connection to the 'EXPQ' query in the workbook." type="5" refreshedVersion="8" background="1" saveData="1">
    <dbPr connection="provider=Microsoft.Mashup.OleDb.1;data source=$Workbook$;location=EXPQ;extended properties=" command="SELECT * FROM [EXPQ]"/>
  </connection>
  <connection id="5" xr16:uid="{00000000-0015-0000-FFFF-FFFF04000000}" keepAlive="1" name="Query - Fuel Final" description="Connection to the 'Fuel Final' query in the workbook." type="5" refreshedVersion="8" background="1" saveData="1">
    <dbPr connection="provider=Microsoft.Mashup.OleDb.1;data source=$Workbook$;location=&quot;Fuel Final&quot;;extended properties=" command="SELECT * FROM [Fuel Final]"/>
  </connection>
  <connection id="6" xr16:uid="{00000000-0015-0000-FFFF-FFFF05000000}" keepAlive="1" name="Query - Fuel JC" description="Connection to the 'Fuel JC' query in the workbook." type="5" refreshedVersion="8" background="1" saveData="1">
    <dbPr connection="provider=Microsoft.Mashup.OleDb.1;data source=$Workbook$;location=&quot;Fuel JC&quot;;extended properties=" command="SELECT * FROM [Fuel JC]"/>
  </connection>
  <connection id="7" xr16:uid="{00000000-0015-0000-FFFF-FFFF06000000}" keepAlive="1" name="Query - FUELQ" description="Connection to the 'FUELQ' query in the workbook." type="5" refreshedVersion="8" background="1" saveData="1">
    <dbPr connection="provider=Microsoft.Mashup.OleDb.1;data source=$Workbook$;location=FUELQ;extended properties=" command="SELECT * FROM [FUELQ]"/>
  </connection>
  <connection id="8" xr16:uid="{00000000-0015-0000-FFFF-FFFF07000000}" keepAlive="1" name="Query - Karta Final" description="Connection to the 'Karta Final' query in the workbook." type="5" refreshedVersion="8" background="1" saveData="1">
    <dbPr connection="provider=Microsoft.Mashup.OleDb.1;data source=$Workbook$;location=&quot;Karta Final&quot;;extended properties=" command="SELECT * FROM [Karta Final]"/>
  </connection>
  <connection id="9" xr16:uid="{00000000-0015-0000-FFFF-FFFF08000000}" keepAlive="1" name="Query - KARTAJCQ" description="Connection to the 'KARTAJCQ' query in the workbook." type="5" refreshedVersion="8" background="1" saveData="1">
    <dbPr connection="provider=Microsoft.Mashup.OleDb.1;data source=$Workbook$;location=KARTAJCQ;extended properties=" command="SELECT * FROM [KARTAJCQ]"/>
  </connection>
  <connection id="10" xr16:uid="{00000000-0015-0000-FFFF-FFFF09000000}" keepAlive="1" name="Query - KARTAQ" description="Connection to the 'KARTAQ' query in the workbook." type="5" refreshedVersion="8" background="1" saveData="1">
    <dbPr connection="provider=Microsoft.Mashup.OleDb.1;data source=$Workbook$;location=KARTAQ;extended properties=" command="SELECT * FROM [KARTAQ]"/>
  </connection>
</connections>
</file>

<file path=xl/sharedStrings.xml><?xml version="1.0" encoding="utf-8"?>
<sst xmlns="http://schemas.openxmlformats.org/spreadsheetml/2006/main" count="125" uniqueCount="105">
  <si>
    <t>Account</t>
  </si>
  <si>
    <t>Total</t>
  </si>
  <si>
    <t>المدير المسؤل</t>
  </si>
  <si>
    <t>مدير الحسابات</t>
  </si>
  <si>
    <t>إعتماد</t>
  </si>
  <si>
    <t>التاريخ:</t>
  </si>
  <si>
    <t>VF</t>
  </si>
  <si>
    <t>Name</t>
  </si>
  <si>
    <t xml:space="preserve">Project name </t>
  </si>
  <si>
    <t>Site ID</t>
  </si>
  <si>
    <t>Item Description</t>
  </si>
  <si>
    <t>Amount</t>
  </si>
  <si>
    <t>Comment</t>
  </si>
  <si>
    <t>Month</t>
  </si>
  <si>
    <t>Day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</si>
  <si>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</si>
  <si>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</si>
  <si>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</si>
  <si>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</si>
  <si>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</si>
  <si>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</si>
  <si>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</si>
  <si>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</si>
  <si>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</si>
  <si>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</si>
  <si>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</si>
  <si>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</si>
  <si>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Project</t>
  </si>
  <si>
    <t>EXP</t>
  </si>
  <si>
    <t>ROT</t>
  </si>
  <si>
    <t>ML</t>
  </si>
  <si>
    <t>Coordinator</t>
  </si>
  <si>
    <t>PC</t>
  </si>
  <si>
    <t>Tarek</t>
  </si>
  <si>
    <t>Ashraf</t>
  </si>
  <si>
    <t>Ismail</t>
  </si>
  <si>
    <t>Fady</t>
  </si>
  <si>
    <t>Category</t>
  </si>
  <si>
    <t>Labors</t>
  </si>
  <si>
    <t>Accommodation</t>
  </si>
  <si>
    <t>Mobile &amp; Communication</t>
  </si>
  <si>
    <t>Logistic</t>
  </si>
  <si>
    <t>Site Guard</t>
  </si>
  <si>
    <t>Material</t>
  </si>
  <si>
    <t>Start KM</t>
  </si>
  <si>
    <t>End KM</t>
  </si>
  <si>
    <t>Mohamed Abd El-Aty</t>
  </si>
  <si>
    <t>Sayed Saleh Saeed</t>
  </si>
  <si>
    <t>Fuel Amount</t>
  </si>
  <si>
    <t>Driver</t>
  </si>
  <si>
    <t>Other</t>
  </si>
  <si>
    <t>Area</t>
  </si>
  <si>
    <t>Tracking#</t>
  </si>
  <si>
    <t>Expenses Tracking</t>
  </si>
  <si>
    <t>Fuel Tracking</t>
  </si>
  <si>
    <t>Survey</t>
  </si>
  <si>
    <t>NFM</t>
  </si>
  <si>
    <t>Fiber</t>
  </si>
  <si>
    <t>POC3</t>
  </si>
  <si>
    <t>MTX</t>
  </si>
  <si>
    <t>Ahmed Rady Helmy Hekal</t>
  </si>
  <si>
    <t>Mostafa Ahmed Mohamed</t>
  </si>
  <si>
    <t>City</t>
  </si>
  <si>
    <t>Karta Amount</t>
  </si>
  <si>
    <t>Job Code</t>
  </si>
  <si>
    <t>Ali</t>
  </si>
  <si>
    <t>Kasem</t>
  </si>
  <si>
    <t>Amir Rezik Khalil Gad</t>
  </si>
  <si>
    <t>Mahmoud Rabee Mohamed</t>
  </si>
  <si>
    <t>Mahmoud Shady</t>
  </si>
  <si>
    <t>Mohamed Assad Mohamed Abdelrahman</t>
  </si>
  <si>
    <t>Mohamed Emad Ibrahim Hasheish</t>
  </si>
  <si>
    <t>Abd El-Razek</t>
  </si>
  <si>
    <t>Sub Category</t>
  </si>
  <si>
    <t>Fuel</t>
  </si>
  <si>
    <t>Karta</t>
  </si>
  <si>
    <t>Transportation</t>
  </si>
  <si>
    <t>Car Rent</t>
  </si>
  <si>
    <t>Copy</t>
  </si>
  <si>
    <t>Labor</t>
  </si>
  <si>
    <t>Medical</t>
  </si>
  <si>
    <t>Car Oil</t>
  </si>
  <si>
    <t>WH Rent</t>
  </si>
  <si>
    <t>Allowance</t>
  </si>
  <si>
    <t>Team Rent</t>
  </si>
  <si>
    <t>Internet</t>
  </si>
  <si>
    <t>Ismailia RBS</t>
  </si>
  <si>
    <t>Luxor RBS</t>
  </si>
  <si>
    <t>Tanta RBS</t>
  </si>
  <si>
    <t>Asyut RBS</t>
  </si>
  <si>
    <t>SV (PTZ)</t>
  </si>
  <si>
    <t>Raya</t>
  </si>
  <si>
    <t>Tanta MTX</t>
  </si>
  <si>
    <t>Mansoura MTX</t>
  </si>
  <si>
    <t>Lotus MTX (ALEX)</t>
  </si>
  <si>
    <t>5C (Tagamooa)</t>
  </si>
  <si>
    <t>Mokattam MTX</t>
  </si>
  <si>
    <t>Bani Sweif MTX</t>
  </si>
  <si>
    <t>Zahraa MTX</t>
  </si>
  <si>
    <t>10 RMD MTX</t>
  </si>
  <si>
    <t>Abu Rawash WH</t>
  </si>
  <si>
    <t>HQ MTX</t>
  </si>
  <si>
    <t>HQ Horaizon</t>
  </si>
  <si>
    <t>Asyut MTX</t>
  </si>
  <si>
    <t>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</si>
</sst>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(* #,##0_);_(* \(#,##0\);_(* &quot;-&quot;_);_(@_)"/>
    <numFmt numFmtId="43" formatCode="_(* #,##0.00_);_(* \(#,##0.00\);_(* &quot;-&quot;??_);_(@_)"/>
    <numFmt numFmtId="164" formatCode="[$-409]d\-mmm\-yy;@"/>
    <numFmt numFmtId="165" formatCode="[$EGP]\ #,##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2">
    <xf numFmtId="0" fontId="0" fillId="0" borderId="0" xfId="0"/>
    <xf numFmtId="165" fontId="1" fillId="0" borderId="7" xfId="0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165" fontId="1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6" xfId="0" applyBorder="1" applyProtection="1">
      <protection locked="0"/>
    </xf>
    <xf numFmtId="0" fontId="4" fillId="0" borderId="0" xfId="0" applyFont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4" fillId="0" borderId="7" xfId="0" applyFont="1" applyBorder="1" applyProtection="1">
      <protection locked="0"/>
    </xf>
    <xf numFmtId="164" fontId="0" fillId="0" borderId="13" xfId="0" applyNumberFormat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16" fontId="0" fillId="0" borderId="0" xfId="0" applyNumberFormat="1" applyProtection="1"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 applyProtection="1">
      <protection locked="0"/>
    </xf>
    <xf numFmtId="0" fontId="1" fillId="0" borderId="7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4" fontId="7" fillId="0" borderId="21" xfId="0" applyNumberFormat="1" applyFont="1" applyBorder="1" applyAlignment="1" applyProtection="1">
      <alignment horizontal="center" vertical="center"/>
      <protection locked="0"/>
    </xf>
    <xf numFmtId="165" fontId="7" fillId="0" borderId="4" xfId="0" applyNumberFormat="1" applyFont="1" applyBorder="1" applyAlignment="1" applyProtection="1">
      <alignment horizontal="center" vertical="center"/>
      <protection locked="0"/>
    </xf>
    <xf numFmtId="165" fontId="7" fillId="0" borderId="2" xfId="0" applyNumberFormat="1" applyFont="1" applyBorder="1" applyAlignment="1" applyProtection="1">
      <alignment horizontal="center" vertical="center"/>
      <protection locked="0"/>
    </xf>
    <xf numFmtId="165" fontId="0" fillId="0" borderId="2" xfId="0" applyNumberFormat="1" applyBorder="1" applyAlignment="1" applyProtection="1">
      <alignment horizontal="center" vertical="center"/>
      <protection locked="0"/>
    </xf>
    <xf numFmtId="164" fontId="0" fillId="0" borderId="21" xfId="0" applyNumberForma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0" fontId="3" fillId="4" borderId="17" xfId="0" applyFont="1" applyFill="1" applyBorder="1" applyAlignment="1" applyProtection="1">
      <alignment horizontal="center" vertical="center"/>
      <protection locked="0"/>
    </xf>
    <xf numFmtId="0" fontId="3" fillId="4" borderId="18" xfId="0" applyFont="1" applyFill="1" applyBorder="1" applyAlignment="1" applyProtection="1">
      <alignment horizontal="center" vertical="center"/>
      <protection locked="0"/>
    </xf>
    <xf numFmtId="41" fontId="0" fillId="0" borderId="2" xfId="1" applyNumberFormat="1" applyFont="1" applyFill="1" applyBorder="1" applyAlignment="1" applyProtection="1">
      <alignment horizontal="center" vertical="center"/>
      <protection locked="0"/>
    </xf>
    <xf numFmtId="41" fontId="7" fillId="0" borderId="2" xfId="1" applyNumberFormat="1" applyFont="1" applyFill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164" fontId="0" fillId="0" borderId="15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165" fontId="0" fillId="0" borderId="3" xfId="0" applyNumberFormat="1" applyBorder="1" applyAlignment="1" applyProtection="1">
      <alignment horizontal="center" vertical="center"/>
      <protection locked="0"/>
    </xf>
    <xf numFmtId="41" fontId="0" fillId="0" borderId="2" xfId="1" applyNumberFormat="1" applyFont="1" applyFill="1" applyBorder="1" applyAlignment="1" applyProtection="1">
      <alignment horizontal="center" vertical="center" wrapText="1"/>
      <protection locked="0"/>
    </xf>
    <xf numFmtId="165" fontId="0" fillId="0" borderId="4" xfId="0" applyNumberFormat="1" applyBorder="1" applyAlignment="1" applyProtection="1">
      <alignment horizontal="center" vertical="center" wrapText="1"/>
      <protection locked="0"/>
    </xf>
    <xf numFmtId="1" fontId="0" fillId="0" borderId="19" xfId="0" applyNumberFormat="1" applyBorder="1" applyAlignment="1" applyProtection="1">
      <alignment horizontal="center" vertical="center" wrapText="1"/>
      <protection locked="0"/>
    </xf>
    <xf numFmtId="1" fontId="0" fillId="0" borderId="19" xfId="0" applyNumberForma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4" fillId="0" borderId="12" xfId="0" applyFont="1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164" fontId="10" fillId="0" borderId="21" xfId="0" applyNumberFormat="1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165" fontId="10" fillId="0" borderId="4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EGP]\ 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EGP]\ 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EGP]\ 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rgb="FF000000"/>
        </left>
        <right style="medium">
          <color auto="1"/>
        </right>
        <top style="medium">
          <color auto="1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EGP]\ 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rgb="FF000000"/>
        </left>
        <right style="medium">
          <color auto="1"/>
        </right>
        <top style="medium">
          <color auto="1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39"/>
      <tableStyleElement type="headerRow" dxfId="38"/>
      <tableStyleElement type="firstRowStripe" dxfId="37"/>
    </tableStyle>
    <tableStyle name="TableStyleQueryResult" pivot="0" count="3" xr9:uid="{00000000-0011-0000-FFFF-FFFF01000000}">
      <tableStyleElement type="wholeTable" dxfId="36"/>
      <tableStyleElement type="headerRow" dxfId="35"/>
      <tableStyleElement type="firstRowStripe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47625</xdr:rowOff>
    </xdr:from>
    <xdr:to>
      <xdr:col>4</xdr:col>
      <xdr:colOff>170010</xdr:colOff>
      <xdr:row>1</xdr:row>
      <xdr:rowOff>161925</xdr:rowOff>
    </xdr:to>
    <xdr:pic>
      <xdr:nvPicPr>
        <xdr:cNvPr id="2" name="Picture 1" descr="Landmark Plus 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1263" t="6191"/>
        <a:stretch>
          <a:fillRect/>
        </a:stretch>
      </xdr:blipFill>
      <xdr:spPr>
        <a:xfrm>
          <a:off x="47625" y="47625"/>
          <a:ext cx="1991846" cy="372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47625</xdr:rowOff>
    </xdr:from>
    <xdr:to>
      <xdr:col>4</xdr:col>
      <xdr:colOff>82923</xdr:colOff>
      <xdr:row>1</xdr:row>
      <xdr:rowOff>161925</xdr:rowOff>
    </xdr:to>
    <xdr:pic>
      <xdr:nvPicPr>
        <xdr:cNvPr id="2" name="Picture 1" descr="Landmark Plus 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1263" t="6191"/>
        <a:stretch>
          <a:fillRect/>
        </a:stretch>
      </xdr:blipFill>
      <xdr:spPr>
        <a:xfrm>
          <a:off x="47625" y="47625"/>
          <a:ext cx="1722904" cy="37203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e1349" displayName="Table1349" ref="C9:L30" totalsRowShown="0" headerRowDxfId="33" dataDxfId="31" headerRowBorderDxfId="32" tableBorderDxfId="30">
  <autoFilter ref="C9:L30" xr:uid="{00000000-0009-0000-0100-000008000000}"/>
  <tableColumns count="10">
    <tableColumn id="1" xr3:uid="{00000000-0010-0000-0000-000001000000}" name="Month" dataDxfId="29"/>
    <tableColumn id="8" xr3:uid="{00000000-0010-0000-0000-000008000000}" name="Day" dataDxfId="28"/>
    <tableColumn id="2" xr3:uid="{00000000-0010-0000-0000-000002000000}" name="Project name " dataDxfId="27"/>
    <tableColumn id="3" xr3:uid="{00000000-0010-0000-0000-000003000000}" name="Site ID" dataDxfId="26"/>
    <tableColumn id="7" xr3:uid="{00000000-0010-0000-0000-000007000000}" name="Job Code" dataDxfId="25"/>
    <tableColumn id="5" xr3:uid="{00000000-0010-0000-0000-000005000000}" name="Category" dataDxfId="24"/>
    <tableColumn id="4" xr3:uid="{00000000-0010-0000-0000-000004000000}" name="Item Description" dataDxfId="23"/>
    <tableColumn id="6" xr3:uid="{00000000-0010-0000-0000-000006000000}" name="Amount" dataDxfId="22"/>
    <tableColumn id="9" xr3:uid="{00000000-0010-0000-0000-000009000000}" name="Comment" dataDxfId="21"/>
    <tableColumn id="11" xr3:uid="{00000000-0010-0000-0000-00000B000000}" name="Coordinator" dataDxfId="2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Table12" displayName="Table12" ref="Q9:Q20" totalsRowShown="0" headerRowDxfId="19" dataDxfId="18">
  <autoFilter ref="Q9:Q20" xr:uid="{00000000-0009-0000-0100-00000C000000}"/>
  <tableColumns count="1">
    <tableColumn id="1" xr3:uid="{00000000-0010-0000-0100-000001000000}" name="Sub Category" dataDxfId="1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3492" displayName="Table13492" ref="C9:O27" totalsRowShown="0" headerRowDxfId="16" dataDxfId="14" headerRowBorderDxfId="15" tableBorderDxfId="13">
  <autoFilter ref="C9:O27" xr:uid="{00000000-0009-0000-0100-000001000000}"/>
  <tableColumns count="13">
    <tableColumn id="1" xr3:uid="{00000000-0010-0000-0200-000001000000}" name="Month" dataDxfId="12"/>
    <tableColumn id="8" xr3:uid="{00000000-0010-0000-0200-000008000000}" name="Day" dataDxfId="11"/>
    <tableColumn id="2" xr3:uid="{00000000-0010-0000-0200-000002000000}" name="Project name " dataDxfId="10"/>
    <tableColumn id="3" xr3:uid="{00000000-0010-0000-0200-000003000000}" name="Site ID" dataDxfId="9"/>
    <tableColumn id="13" xr3:uid="{00000000-0010-0000-0200-00000D000000}" name="Job Code" dataDxfId="8"/>
    <tableColumn id="5" xr3:uid="{00000000-0010-0000-0200-000005000000}" name="Start KM" dataDxfId="7" dataCellStyle="Comma"/>
    <tableColumn id="4" xr3:uid="{00000000-0010-0000-0200-000004000000}" name="End KM" dataDxfId="6" dataCellStyle="Comma"/>
    <tableColumn id="6" xr3:uid="{00000000-0010-0000-0200-000006000000}" name="Fuel Amount" dataDxfId="5"/>
    <tableColumn id="9" xr3:uid="{00000000-0010-0000-0200-000009000000}" name="Area" dataDxfId="4"/>
    <tableColumn id="11" xr3:uid="{00000000-0010-0000-0200-00000B000000}" name="Driver" dataDxfId="3"/>
    <tableColumn id="7" xr3:uid="{00000000-0010-0000-0200-000007000000}" name="City" dataDxfId="2"/>
    <tableColumn id="12" xr3:uid="{00000000-0010-0000-0200-00000C000000}" name="Karta Amount" dataDxfId="1"/>
    <tableColumn id="20" xr3:uid="{00000000-0010-0000-0200-000014000000}" name="Coordinator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2"/>
  <sheetViews>
    <sheetView workbookViewId="0">
      <selection activeCell="F2" sqref="F2"/>
    </sheetView>
  </sheetViews>
  <sheetFormatPr defaultRowHeight="14.4" x14ac:dyDescent="0.3"/>
  <cols>
    <col min="1" max="1" width="6.88671875" bestFit="1" customWidth="1"/>
    <col min="2" max="2" width="4.33203125" bestFit="1" customWidth="1"/>
    <col min="3" max="3" width="7.6640625" bestFit="1" customWidth="1"/>
    <col min="4" max="4" width="10" bestFit="1" customWidth="1"/>
    <col min="5" max="5" width="24" bestFit="1" customWidth="1"/>
    <col min="6" max="6" width="24.33203125" bestFit="1" customWidth="1"/>
  </cols>
  <sheetData>
    <row r="1" spans="1:6" x14ac:dyDescent="0.3">
      <c r="A1" t="s">
        <v>13</v>
      </c>
      <c r="B1" t="s">
        <v>14</v>
      </c>
      <c r="C1" t="s">
        <v>27</v>
      </c>
      <c r="D1" t="s">
        <v>32</v>
      </c>
      <c r="E1" t="s">
        <v>37</v>
      </c>
      <c r="F1" t="s">
        <v>7</v>
      </c>
    </row>
    <row r="2" spans="1:6" x14ac:dyDescent="0.3">
      <c r="A2" t="s">
        <v>15</v>
      </c>
      <c r="B2">
        <v>1</v>
      </c>
      <c r="C2" t="s">
        <v>28</v>
      </c>
      <c r="D2" t="s">
        <v>34</v>
      </c>
      <c r="E2" t="s">
        <v>40</v>
      </c>
      <c r="F2" t="s">
        <v>72</v>
      </c>
    </row>
    <row r="3" spans="1:6" x14ac:dyDescent="0.3">
      <c r="A3" t="s">
        <v>16</v>
      </c>
      <c r="B3">
        <v>2</v>
      </c>
      <c r="C3" t="s">
        <v>29</v>
      </c>
      <c r="D3" t="s">
        <v>35</v>
      </c>
      <c r="E3" t="s">
        <v>39</v>
      </c>
      <c r="F3" t="s">
        <v>60</v>
      </c>
    </row>
    <row r="4" spans="1:6" x14ac:dyDescent="0.3">
      <c r="A4" t="s">
        <v>17</v>
      </c>
      <c r="B4">
        <v>3</v>
      </c>
      <c r="C4" t="s">
        <v>30</v>
      </c>
      <c r="D4" t="s">
        <v>65</v>
      </c>
      <c r="E4" t="s">
        <v>38</v>
      </c>
      <c r="F4" t="s">
        <v>67</v>
      </c>
    </row>
    <row r="5" spans="1:6" x14ac:dyDescent="0.3">
      <c r="A5" t="s">
        <v>18</v>
      </c>
      <c r="B5">
        <v>4</v>
      </c>
      <c r="C5" t="s">
        <v>55</v>
      </c>
      <c r="D5" t="s">
        <v>36</v>
      </c>
      <c r="E5" t="s">
        <v>41</v>
      </c>
      <c r="F5" t="s">
        <v>68</v>
      </c>
    </row>
    <row r="6" spans="1:6" x14ac:dyDescent="0.3">
      <c r="A6" t="s">
        <v>19</v>
      </c>
      <c r="B6">
        <v>5</v>
      </c>
      <c r="C6" t="s">
        <v>56</v>
      </c>
      <c r="D6" t="s">
        <v>66</v>
      </c>
      <c r="E6" t="s">
        <v>42</v>
      </c>
      <c r="F6" t="s">
        <v>69</v>
      </c>
    </row>
    <row r="7" spans="1:6" x14ac:dyDescent="0.3">
      <c r="A7" t="s">
        <v>20</v>
      </c>
      <c r="B7">
        <v>6</v>
      </c>
      <c r="C7" t="s">
        <v>57</v>
      </c>
      <c r="D7" t="s">
        <v>33</v>
      </c>
      <c r="E7" t="s">
        <v>43</v>
      </c>
      <c r="F7" t="s">
        <v>46</v>
      </c>
    </row>
    <row r="8" spans="1:6" x14ac:dyDescent="0.3">
      <c r="A8" t="s">
        <v>21</v>
      </c>
      <c r="B8">
        <v>7</v>
      </c>
      <c r="C8" t="s">
        <v>58</v>
      </c>
      <c r="E8" t="s">
        <v>50</v>
      </c>
      <c r="F8" t="s">
        <v>70</v>
      </c>
    </row>
    <row r="9" spans="1:6" x14ac:dyDescent="0.3">
      <c r="A9" t="s">
        <v>22</v>
      </c>
      <c r="B9">
        <v>8</v>
      </c>
      <c r="C9" t="s">
        <v>59</v>
      </c>
      <c r="F9" t="s">
        <v>71</v>
      </c>
    </row>
    <row r="10" spans="1:6" x14ac:dyDescent="0.3">
      <c r="A10" t="s">
        <v>23</v>
      </c>
      <c r="B10">
        <v>9</v>
      </c>
      <c r="F10" t="s">
        <v>61</v>
      </c>
    </row>
    <row r="11" spans="1:6" x14ac:dyDescent="0.3">
      <c r="A11" t="s">
        <v>24</v>
      </c>
      <c r="B11">
        <v>10</v>
      </c>
      <c r="F11" t="s">
        <v>47</v>
      </c>
    </row>
    <row r="12" spans="1:6" x14ac:dyDescent="0.3">
      <c r="A12" t="s">
        <v>25</v>
      </c>
      <c r="B12">
        <v>11</v>
      </c>
    </row>
    <row r="13" spans="1:6" x14ac:dyDescent="0.3">
      <c r="A13" t="s">
        <v>26</v>
      </c>
      <c r="B13">
        <v>12</v>
      </c>
    </row>
    <row r="14" spans="1:6" x14ac:dyDescent="0.3">
      <c r="B14">
        <v>13</v>
      </c>
    </row>
    <row r="15" spans="1:6" x14ac:dyDescent="0.3">
      <c r="B15">
        <v>14</v>
      </c>
    </row>
    <row r="16" spans="1:6" x14ac:dyDescent="0.3">
      <c r="B16">
        <v>15</v>
      </c>
    </row>
    <row r="17" spans="2:2" x14ac:dyDescent="0.3">
      <c r="B17">
        <v>16</v>
      </c>
    </row>
    <row r="18" spans="2:2" x14ac:dyDescent="0.3">
      <c r="B18">
        <v>17</v>
      </c>
    </row>
    <row r="19" spans="2:2" x14ac:dyDescent="0.3">
      <c r="B19">
        <v>18</v>
      </c>
    </row>
    <row r="20" spans="2:2" x14ac:dyDescent="0.3">
      <c r="B20">
        <v>19</v>
      </c>
    </row>
    <row r="21" spans="2:2" x14ac:dyDescent="0.3">
      <c r="B21">
        <v>20</v>
      </c>
    </row>
    <row r="22" spans="2:2" x14ac:dyDescent="0.3">
      <c r="B22">
        <v>21</v>
      </c>
    </row>
    <row r="23" spans="2:2" x14ac:dyDescent="0.3">
      <c r="B23">
        <v>22</v>
      </c>
    </row>
    <row r="24" spans="2:2" x14ac:dyDescent="0.3">
      <c r="B24">
        <v>23</v>
      </c>
    </row>
    <row r="25" spans="2:2" x14ac:dyDescent="0.3">
      <c r="B25">
        <v>24</v>
      </c>
    </row>
    <row r="26" spans="2:2" x14ac:dyDescent="0.3">
      <c r="B26">
        <v>25</v>
      </c>
    </row>
    <row r="27" spans="2:2" x14ac:dyDescent="0.3">
      <c r="B27">
        <v>26</v>
      </c>
    </row>
    <row r="28" spans="2:2" x14ac:dyDescent="0.3">
      <c r="B28">
        <v>27</v>
      </c>
    </row>
    <row r="29" spans="2:2" x14ac:dyDescent="0.3">
      <c r="B29">
        <v>28</v>
      </c>
    </row>
    <row r="30" spans="2:2" x14ac:dyDescent="0.3">
      <c r="B30">
        <v>29</v>
      </c>
    </row>
    <row r="31" spans="2:2" x14ac:dyDescent="0.3">
      <c r="B31">
        <v>30</v>
      </c>
    </row>
    <row r="32" spans="2:2" x14ac:dyDescent="0.3">
      <c r="B32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pageSetUpPr fitToPage="1"/>
  </sheetPr>
  <dimension ref="A1:S40"/>
  <sheetViews>
    <sheetView showGridLines="0" zoomScale="70" zoomScaleNormal="70" workbookViewId="0">
      <selection activeCell="L24" sqref="L24"/>
    </sheetView>
  </sheetViews>
  <sheetFormatPr defaultColWidth="9.109375" defaultRowHeight="15" customHeight="1" x14ac:dyDescent="0.3"/>
  <cols>
    <col min="1" max="1" width="1.6640625" style="2" customWidth="1"/>
    <col min="2" max="2" width="1" style="2" customWidth="1"/>
    <col min="3" max="3" width="13.88671875" style="2" bestFit="1" customWidth="1"/>
    <col min="4" max="4" width="11.109375" style="2" bestFit="1" customWidth="1"/>
    <col min="5" max="5" width="20.21875" style="2" bestFit="1" customWidth="1"/>
    <col min="6" max="6" width="18.6640625" style="2" customWidth="1"/>
    <col min="7" max="7" width="16" style="2" bestFit="1" customWidth="1"/>
    <col min="8" max="8" width="16.6640625" style="2" bestFit="1" customWidth="1"/>
    <col min="9" max="9" width="23.109375" style="2" bestFit="1" customWidth="1"/>
    <col min="10" max="10" width="15.44140625" style="2" bestFit="1" customWidth="1"/>
    <col min="11" max="11" width="16.44140625" style="2" bestFit="1" customWidth="1"/>
    <col min="12" max="12" width="18.88671875" style="2" bestFit="1" customWidth="1"/>
    <col min="13" max="13" width="0.88671875" style="2" customWidth="1"/>
    <col min="14" max="14" width="1.6640625" style="2" customWidth="1"/>
    <col min="15" max="15" width="9.109375" style="2" customWidth="1"/>
    <col min="16" max="16" width="9.109375" style="2"/>
    <col min="17" max="17" width="14.88671875" style="2" hidden="1" customWidth="1"/>
    <col min="18" max="18" width="9.109375" style="2"/>
    <col min="19" max="19" width="0" style="2" hidden="1" customWidth="1"/>
    <col min="20" max="16384" width="9.109375" style="2"/>
  </cols>
  <sheetData>
    <row r="1" spans="1:19" ht="19.2" thickTop="1" thickBot="1" x14ac:dyDescent="0.35">
      <c r="F1" s="69" t="s">
        <v>53</v>
      </c>
      <c r="G1" s="70"/>
      <c r="H1" s="70"/>
      <c r="I1" s="70"/>
      <c r="J1" s="70"/>
      <c r="K1" s="70"/>
      <c r="L1" s="70"/>
    </row>
    <row r="2" spans="1:19" ht="15" customHeight="1" thickTop="1" thickBot="1" x14ac:dyDescent="0.35">
      <c r="F2" s="71" t="s">
        <v>0</v>
      </c>
      <c r="G2" s="71"/>
      <c r="H2" s="71"/>
      <c r="I2" s="71"/>
      <c r="J2" s="71" t="s">
        <v>6</v>
      </c>
      <c r="K2" s="71"/>
      <c r="L2" s="71"/>
    </row>
    <row r="3" spans="1:19" ht="6.9" customHeight="1" thickTop="1" x14ac:dyDescent="0.3">
      <c r="A3" s="59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59"/>
    </row>
    <row r="4" spans="1:19" ht="6.9" customHeight="1" thickBot="1" x14ac:dyDescent="0.35">
      <c r="A4" s="59"/>
      <c r="N4" s="59"/>
    </row>
    <row r="5" spans="1:19" ht="15.75" customHeight="1" thickTop="1" thickBot="1" x14ac:dyDescent="0.35">
      <c r="A5" s="59"/>
      <c r="C5" s="3" t="s">
        <v>7</v>
      </c>
      <c r="D5" s="66"/>
      <c r="E5" s="67"/>
      <c r="F5" s="67"/>
      <c r="G5" s="24"/>
      <c r="H5" s="23"/>
      <c r="I5" s="3" t="s">
        <v>1</v>
      </c>
      <c r="J5" s="1">
        <f>SUBTOTAL(9,Table1349[Amount])</f>
        <v>0</v>
      </c>
      <c r="K5" s="4"/>
      <c r="L5" s="4"/>
      <c r="N5" s="59"/>
      <c r="S5" s="2" t="s">
        <v>86</v>
      </c>
    </row>
    <row r="6" spans="1:19" ht="6.9" customHeight="1" thickTop="1" x14ac:dyDescent="0.3">
      <c r="A6" s="59"/>
      <c r="E6" s="5"/>
      <c r="F6" s="5"/>
      <c r="G6" s="5"/>
      <c r="H6" s="5"/>
      <c r="I6" s="5"/>
      <c r="J6" s="5"/>
      <c r="K6" s="5"/>
      <c r="L6" s="5"/>
      <c r="N6" s="59"/>
      <c r="S6" s="2" t="s">
        <v>87</v>
      </c>
    </row>
    <row r="7" spans="1:19" ht="8.1" customHeight="1" x14ac:dyDescent="0.3">
      <c r="A7" s="59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59"/>
      <c r="S7" s="2" t="s">
        <v>88</v>
      </c>
    </row>
    <row r="8" spans="1:19" ht="9.9" customHeight="1" x14ac:dyDescent="0.3">
      <c r="A8" s="59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59"/>
      <c r="S8" s="2" t="s">
        <v>89</v>
      </c>
    </row>
    <row r="9" spans="1:19" ht="16.2" thickBot="1" x14ac:dyDescent="0.35">
      <c r="A9" s="59"/>
      <c r="B9" s="6"/>
      <c r="C9" s="36" t="s">
        <v>13</v>
      </c>
      <c r="D9" s="36" t="s">
        <v>14</v>
      </c>
      <c r="E9" s="37" t="s">
        <v>8</v>
      </c>
      <c r="F9" s="37" t="s">
        <v>9</v>
      </c>
      <c r="G9" s="37" t="s">
        <v>64</v>
      </c>
      <c r="H9" s="37" t="s">
        <v>37</v>
      </c>
      <c r="I9" s="37" t="s">
        <v>10</v>
      </c>
      <c r="J9" s="37" t="s">
        <v>11</v>
      </c>
      <c r="K9" s="38" t="s">
        <v>12</v>
      </c>
      <c r="L9" s="38" t="s">
        <v>31</v>
      </c>
      <c r="M9" s="6"/>
      <c r="N9" s="59"/>
      <c r="Q9" s="44" t="s">
        <v>73</v>
      </c>
      <c r="S9" s="2" t="s">
        <v>90</v>
      </c>
    </row>
    <row r="10" spans="1:19" ht="27" customHeight="1" thickTop="1" x14ac:dyDescent="0.3">
      <c r="A10" s="59"/>
      <c r="B10" s="6"/>
      <c r="C10" s="47"/>
      <c r="D10" s="48"/>
      <c r="E10" s="51"/>
      <c r="F10" s="49"/>
      <c r="G10" s="49"/>
      <c r="H10" s="49"/>
      <c r="I10" s="53"/>
      <c r="J10" s="50"/>
      <c r="K10" s="52"/>
      <c r="L10" s="50"/>
      <c r="M10" s="6"/>
      <c r="N10" s="59"/>
      <c r="Q10" s="44" t="s">
        <v>77</v>
      </c>
      <c r="S10" s="2" t="s">
        <v>91</v>
      </c>
    </row>
    <row r="11" spans="1:19" ht="14.4" x14ac:dyDescent="0.3">
      <c r="A11" s="59"/>
      <c r="B11" s="6"/>
      <c r="C11" s="47"/>
      <c r="D11" s="48"/>
      <c r="E11" s="51"/>
      <c r="F11" s="49"/>
      <c r="G11" s="49"/>
      <c r="H11" s="49"/>
      <c r="I11" s="53"/>
      <c r="J11" s="50"/>
      <c r="K11" s="53"/>
      <c r="L11" s="50"/>
      <c r="M11" s="6"/>
      <c r="N11" s="59"/>
      <c r="Q11" s="44" t="s">
        <v>78</v>
      </c>
      <c r="S11" s="2" t="s">
        <v>92</v>
      </c>
    </row>
    <row r="12" spans="1:19" ht="14.4" x14ac:dyDescent="0.3">
      <c r="A12" s="59"/>
      <c r="B12" s="6"/>
      <c r="C12" s="47"/>
      <c r="D12" s="48"/>
      <c r="E12" s="51"/>
      <c r="F12" s="49"/>
      <c r="G12" s="49"/>
      <c r="H12" s="49"/>
      <c r="I12" s="53"/>
      <c r="J12" s="50"/>
      <c r="K12" s="53"/>
      <c r="L12" s="50"/>
      <c r="M12" s="6"/>
      <c r="N12" s="59"/>
      <c r="Q12" s="44" t="s">
        <v>43</v>
      </c>
      <c r="S12" s="2" t="s">
        <v>93</v>
      </c>
    </row>
    <row r="13" spans="1:19" ht="14.4" x14ac:dyDescent="0.3">
      <c r="A13" s="59"/>
      <c r="B13" s="6"/>
      <c r="C13" s="63"/>
      <c r="D13" s="64"/>
      <c r="E13" s="64"/>
      <c r="F13" s="49"/>
      <c r="G13" s="49"/>
      <c r="H13" s="49"/>
      <c r="I13" s="51"/>
      <c r="J13" s="65"/>
      <c r="K13" s="51"/>
      <c r="L13" s="56"/>
      <c r="M13" s="6"/>
      <c r="N13" s="59"/>
      <c r="Q13" s="44" t="s">
        <v>79</v>
      </c>
      <c r="S13" s="2" t="s">
        <v>94</v>
      </c>
    </row>
    <row r="14" spans="1:19" ht="14.4" x14ac:dyDescent="0.3">
      <c r="A14" s="59"/>
      <c r="B14" s="6"/>
      <c r="C14" s="63"/>
      <c r="D14" s="64"/>
      <c r="E14" s="64"/>
      <c r="F14" s="49"/>
      <c r="G14" s="49"/>
      <c r="H14" s="49"/>
      <c r="I14" s="51"/>
      <c r="J14" s="65"/>
      <c r="K14" s="51"/>
      <c r="L14" s="50"/>
      <c r="M14" s="6"/>
      <c r="N14" s="59"/>
      <c r="Q14" s="44" t="s">
        <v>76</v>
      </c>
      <c r="S14" s="2" t="s">
        <v>95</v>
      </c>
    </row>
    <row r="15" spans="1:19" ht="14.4" x14ac:dyDescent="0.3">
      <c r="A15" s="59"/>
      <c r="B15" s="6"/>
      <c r="C15" s="63"/>
      <c r="D15" s="64"/>
      <c r="E15" s="64"/>
      <c r="F15" s="49"/>
      <c r="G15" s="49"/>
      <c r="H15" s="49"/>
      <c r="I15" s="51"/>
      <c r="J15" s="65"/>
      <c r="K15" s="51"/>
      <c r="L15" s="50"/>
      <c r="M15" s="6"/>
      <c r="N15" s="59"/>
      <c r="Q15" s="44" t="s">
        <v>80</v>
      </c>
      <c r="S15" s="2" t="s">
        <v>96</v>
      </c>
    </row>
    <row r="16" spans="1:19" ht="14.4" x14ac:dyDescent="0.3">
      <c r="A16" s="59"/>
      <c r="B16" s="6"/>
      <c r="C16" s="63"/>
      <c r="D16" s="64"/>
      <c r="E16" s="64"/>
      <c r="F16" s="64"/>
      <c r="G16" s="49"/>
      <c r="H16" s="49"/>
      <c r="I16" s="51"/>
      <c r="J16" s="65"/>
      <c r="K16" s="51"/>
      <c r="L16" s="50"/>
      <c r="M16" s="6"/>
      <c r="N16" s="59"/>
      <c r="Q16" s="44" t="s">
        <v>81</v>
      </c>
      <c r="S16" s="2" t="s">
        <v>97</v>
      </c>
    </row>
    <row r="17" spans="1:19" ht="14.4" x14ac:dyDescent="0.3">
      <c r="A17" s="59"/>
      <c r="B17" s="6"/>
      <c r="C17" s="63"/>
      <c r="D17" s="64"/>
      <c r="E17" s="64"/>
      <c r="F17" s="64"/>
      <c r="G17" s="49"/>
      <c r="H17" s="49"/>
      <c r="I17" s="51"/>
      <c r="J17" s="65"/>
      <c r="K17" s="51"/>
      <c r="L17" s="54"/>
      <c r="M17" s="6"/>
      <c r="N17" s="59"/>
      <c r="Q17" s="44" t="s">
        <v>82</v>
      </c>
      <c r="S17" s="2" t="s">
        <v>98</v>
      </c>
    </row>
    <row r="18" spans="1:19" ht="41.4" customHeight="1" x14ac:dyDescent="0.3">
      <c r="A18" s="59"/>
      <c r="B18" s="6"/>
      <c r="C18" s="63"/>
      <c r="D18" s="64"/>
      <c r="E18" s="64"/>
      <c r="F18" s="64"/>
      <c r="G18" s="49"/>
      <c r="H18" s="64"/>
      <c r="I18" s="51"/>
      <c r="J18" s="65"/>
      <c r="K18" s="51"/>
      <c r="L18" s="52"/>
      <c r="M18" s="6"/>
      <c r="N18" s="59"/>
      <c r="Q18" s="44" t="s">
        <v>83</v>
      </c>
      <c r="S18" s="2" t="s">
        <v>99</v>
      </c>
    </row>
    <row r="19" spans="1:19" ht="14.4" x14ac:dyDescent="0.3">
      <c r="A19" s="59"/>
      <c r="B19" s="6"/>
      <c r="C19" s="63"/>
      <c r="D19" s="64"/>
      <c r="E19" s="64"/>
      <c r="F19" s="64"/>
      <c r="G19" s="49"/>
      <c r="H19" s="64"/>
      <c r="I19" s="51"/>
      <c r="J19" s="65"/>
      <c r="K19" s="51"/>
      <c r="L19" s="52"/>
      <c r="M19" s="6"/>
      <c r="N19" s="59"/>
      <c r="Q19" s="44" t="s">
        <v>84</v>
      </c>
      <c r="S19" s="2" t="s">
        <v>100</v>
      </c>
    </row>
    <row r="20" spans="1:19" ht="14.4" x14ac:dyDescent="0.3">
      <c r="A20" s="59"/>
      <c r="B20" s="6"/>
      <c r="C20" s="63"/>
      <c r="D20" s="64"/>
      <c r="E20" s="64"/>
      <c r="F20" s="64"/>
      <c r="G20" s="49"/>
      <c r="H20" s="64"/>
      <c r="I20" s="45"/>
      <c r="J20" s="65"/>
      <c r="K20" s="45"/>
      <c r="L20" s="52"/>
      <c r="M20" s="6"/>
      <c r="N20" s="59"/>
      <c r="Q20" s="44" t="s">
        <v>85</v>
      </c>
      <c r="S20" s="2" t="s">
        <v>101</v>
      </c>
    </row>
    <row r="21" spans="1:19" ht="14.4" x14ac:dyDescent="0.3">
      <c r="A21" s="59"/>
      <c r="B21" s="6"/>
      <c r="C21" s="63"/>
      <c r="D21" s="64"/>
      <c r="E21" s="64"/>
      <c r="F21" s="64"/>
      <c r="G21" s="49"/>
      <c r="H21" s="64"/>
      <c r="I21" s="45"/>
      <c r="J21" s="65"/>
      <c r="K21" s="45"/>
      <c r="L21" s="51"/>
      <c r="M21" s="6"/>
      <c r="N21" s="59"/>
      <c r="S21" s="2" t="s">
        <v>102</v>
      </c>
    </row>
    <row r="22" spans="1:19" ht="14.4" x14ac:dyDescent="0.3">
      <c r="A22" s="59"/>
      <c r="B22" s="6"/>
      <c r="C22" s="63"/>
      <c r="D22" s="64"/>
      <c r="E22" s="64"/>
      <c r="F22" s="64"/>
      <c r="G22" s="49"/>
      <c r="H22" s="64"/>
      <c r="I22" s="45"/>
      <c r="J22" s="65"/>
      <c r="K22" s="45"/>
      <c r="L22" s="51"/>
      <c r="M22" s="6"/>
      <c r="N22" s="59"/>
      <c r="S22" s="2" t="s">
        <v>103</v>
      </c>
    </row>
    <row r="23" spans="1:19" ht="14.4" x14ac:dyDescent="0.3">
      <c r="A23" s="59"/>
      <c r="B23" s="6"/>
      <c r="C23" s="63"/>
      <c r="D23" s="64"/>
      <c r="E23" s="64"/>
      <c r="F23" s="64"/>
      <c r="G23" s="49"/>
      <c r="H23" s="64"/>
      <c r="I23" s="45"/>
      <c r="J23" s="65"/>
      <c r="K23" s="45"/>
      <c r="L23" s="51"/>
      <c r="M23" s="6"/>
      <c r="N23" s="59"/>
      <c r="S23" s="2" t="s">
        <v>104</v>
      </c>
    </row>
    <row r="24" spans="1:19" ht="14.4" x14ac:dyDescent="0.3">
      <c r="A24" s="59"/>
      <c r="B24" s="6"/>
      <c r="C24" s="63"/>
      <c r="D24" s="64"/>
      <c r="E24" s="64"/>
      <c r="F24" s="64"/>
      <c r="G24" s="49"/>
      <c r="H24" s="64"/>
      <c r="I24" s="45"/>
      <c r="J24" s="65"/>
      <c r="K24" s="45"/>
      <c r="L24" s="51"/>
      <c r="M24" s="6"/>
      <c r="N24" s="59"/>
    </row>
    <row r="25" spans="1:19" ht="14.4" x14ac:dyDescent="0.3">
      <c r="A25" s="59"/>
      <c r="B25" s="6"/>
      <c r="C25" s="63"/>
      <c r="D25" s="64"/>
      <c r="E25" s="64"/>
      <c r="F25" s="64"/>
      <c r="G25" s="49"/>
      <c r="H25" s="64"/>
      <c r="I25" s="45"/>
      <c r="J25" s="65"/>
      <c r="K25" s="45"/>
      <c r="L25" s="51"/>
      <c r="M25" s="6"/>
      <c r="N25" s="59"/>
    </row>
    <row r="26" spans="1:19" ht="14.4" x14ac:dyDescent="0.3">
      <c r="A26" s="59"/>
      <c r="B26" s="6"/>
      <c r="C26" s="63"/>
      <c r="D26" s="64"/>
      <c r="E26" s="64"/>
      <c r="F26" s="64"/>
      <c r="G26" s="64"/>
      <c r="H26" s="64"/>
      <c r="I26" s="45"/>
      <c r="J26" s="65"/>
      <c r="K26" s="45"/>
      <c r="L26" s="51"/>
      <c r="M26" s="6"/>
      <c r="N26" s="59"/>
    </row>
    <row r="27" spans="1:19" ht="14.4" x14ac:dyDescent="0.3">
      <c r="A27" s="59"/>
      <c r="B27" s="6"/>
      <c r="C27" s="34"/>
      <c r="D27" s="51"/>
      <c r="E27" s="51"/>
      <c r="F27" s="49"/>
      <c r="G27" s="49"/>
      <c r="H27" s="51"/>
      <c r="I27" s="45"/>
      <c r="J27" s="50"/>
      <c r="K27" s="45"/>
      <c r="L27" s="51"/>
      <c r="M27" s="6"/>
      <c r="N27" s="59"/>
    </row>
    <row r="28" spans="1:19" ht="14.4" x14ac:dyDescent="0.3">
      <c r="A28" s="59"/>
      <c r="B28" s="6"/>
      <c r="C28" s="63"/>
      <c r="D28" s="64"/>
      <c r="E28" s="64"/>
      <c r="F28" s="49"/>
      <c r="G28" s="49"/>
      <c r="H28" s="64"/>
      <c r="I28" s="45"/>
      <c r="J28" s="65"/>
      <c r="K28" s="45"/>
      <c r="L28" s="51"/>
      <c r="M28" s="6"/>
      <c r="N28" s="59"/>
    </row>
    <row r="29" spans="1:19" ht="14.4" x14ac:dyDescent="0.3">
      <c r="A29" s="59"/>
      <c r="B29" s="6"/>
      <c r="C29" s="63"/>
      <c r="D29" s="64"/>
      <c r="E29" s="64"/>
      <c r="F29" s="49"/>
      <c r="G29" s="64"/>
      <c r="H29" s="64"/>
      <c r="I29" s="45"/>
      <c r="J29" s="65"/>
      <c r="K29" s="45"/>
      <c r="L29" s="64"/>
      <c r="M29" s="6"/>
      <c r="N29" s="59"/>
    </row>
    <row r="30" spans="1:19" ht="14.4" x14ac:dyDescent="0.3">
      <c r="A30" s="59"/>
      <c r="B30" s="6"/>
      <c r="C30" s="63"/>
      <c r="D30" s="64"/>
      <c r="E30" s="64"/>
      <c r="F30" s="64"/>
      <c r="G30" s="64"/>
      <c r="H30" s="64"/>
      <c r="I30" s="45"/>
      <c r="J30" s="65"/>
      <c r="K30" s="45"/>
      <c r="L30" s="64"/>
      <c r="M30" s="6"/>
      <c r="N30" s="59"/>
    </row>
    <row r="31" spans="1:19" ht="9.9" customHeight="1" x14ac:dyDescent="0.3">
      <c r="A31" s="59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59"/>
    </row>
    <row r="32" spans="1:19" ht="14.4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</row>
    <row r="33" spans="2:14" ht="6.9" customHeight="1" thickBot="1" x14ac:dyDescent="0.35">
      <c r="N33" s="6"/>
    </row>
    <row r="34" spans="2:14" ht="19.8" customHeight="1" thickTop="1" thickBot="1" x14ac:dyDescent="0.45">
      <c r="B34" s="13"/>
      <c r="C34" s="8"/>
      <c r="D34" s="8"/>
      <c r="E34" s="8" t="s">
        <v>4</v>
      </c>
      <c r="F34" s="8"/>
      <c r="G34" s="8"/>
      <c r="H34" s="8" t="s">
        <v>3</v>
      </c>
      <c r="I34" s="8"/>
      <c r="J34" s="8" t="s">
        <v>2</v>
      </c>
      <c r="K34" s="8"/>
      <c r="L34" s="20" t="s">
        <v>52</v>
      </c>
      <c r="M34" s="61"/>
      <c r="N34" s="6"/>
    </row>
    <row r="35" spans="2:14" ht="22.2" thickTop="1" thickBot="1" x14ac:dyDescent="0.45">
      <c r="C35" s="60"/>
      <c r="D35" s="12"/>
      <c r="E35" s="12"/>
      <c r="F35" s="12"/>
      <c r="G35" s="12"/>
      <c r="H35" s="12"/>
      <c r="I35" s="12"/>
      <c r="L35" s="22"/>
    </row>
    <row r="36" spans="2:14" ht="19.5" customHeight="1" thickTop="1" thickBot="1" x14ac:dyDescent="0.45">
      <c r="C36" s="19">
        <f ca="1">TODAY()</f>
        <v>46079</v>
      </c>
      <c r="D36" s="15" t="s">
        <v>5</v>
      </c>
      <c r="E36" s="16"/>
      <c r="F36" s="16"/>
      <c r="G36" s="16"/>
      <c r="H36" s="17"/>
      <c r="I36" s="17"/>
      <c r="J36" s="17"/>
      <c r="K36" s="17"/>
      <c r="L36" s="62"/>
    </row>
    <row r="37" spans="2:14" thickTop="1" x14ac:dyDescent="0.3">
      <c r="L37" s="9"/>
    </row>
    <row r="38" spans="2:14" ht="14.4" x14ac:dyDescent="0.3"/>
    <row r="39" spans="2:14" ht="14.4" x14ac:dyDescent="0.3"/>
    <row r="40" spans="2:14" ht="15" customHeight="1" x14ac:dyDescent="0.3">
      <c r="F40" s="26"/>
    </row>
  </sheetData>
  <mergeCells count="6">
    <mergeCell ref="D5:F5"/>
    <mergeCell ref="B7:M7"/>
    <mergeCell ref="F1:L1"/>
    <mergeCell ref="F2:I2"/>
    <mergeCell ref="J2:L2"/>
    <mergeCell ref="B3:M3"/>
  </mergeCells>
  <phoneticPr fontId="9" type="noConversion"/>
  <dataValidations count="1">
    <dataValidation type="list" allowBlank="1" showInputMessage="1" showErrorMessage="1" sqref="H27:H31 H10:H25" xr:uid="{00000000-0002-0000-0100-000000000000}">
      <formula1>$Q$10:$Q$20</formula1>
    </dataValidation>
  </dataValidations>
  <pageMargins left="0" right="0" top="0" bottom="0" header="0" footer="0"/>
  <pageSetup paperSize="9" orientation="landscape" horizontalDpi="1200" verticalDpi="120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T34"/>
  <sheetViews>
    <sheetView showGridLines="0" tabSelected="1" zoomScale="85" zoomScaleNormal="85" workbookViewId="0">
      <selection activeCell="D5" sqref="D5:F5"/>
    </sheetView>
  </sheetViews>
  <sheetFormatPr defaultColWidth="9.109375" defaultRowHeight="15" customHeight="1" x14ac:dyDescent="0.3"/>
  <cols>
    <col min="1" max="1" width="1.6640625" style="2" customWidth="1"/>
    <col min="2" max="2" width="1" style="2" customWidth="1"/>
    <col min="3" max="3" width="12.6640625" style="2" bestFit="1" customWidth="1"/>
    <col min="4" max="4" width="9.88671875" style="2" bestFit="1" customWidth="1"/>
    <col min="5" max="5" width="19.33203125" style="2" bestFit="1" customWidth="1"/>
    <col min="6" max="6" width="20.88671875" style="2" customWidth="1"/>
    <col min="7" max="7" width="14.77734375" style="2" bestFit="1" customWidth="1"/>
    <col min="8" max="8" width="14.44140625" style="2" bestFit="1" customWidth="1"/>
    <col min="9" max="9" width="13.44140625" style="2" bestFit="1" customWidth="1"/>
    <col min="10" max="10" width="18.33203125" style="2" bestFit="1" customWidth="1"/>
    <col min="11" max="11" width="10.6640625" style="2" bestFit="1" customWidth="1"/>
    <col min="12" max="12" width="12.109375" style="2" customWidth="1"/>
    <col min="13" max="13" width="15.44140625" style="2" bestFit="1" customWidth="1"/>
    <col min="14" max="14" width="19.33203125" style="2" bestFit="1" customWidth="1"/>
    <col min="15" max="15" width="17.33203125" style="2" bestFit="1" customWidth="1"/>
    <col min="16" max="16" width="0.88671875" style="2" customWidth="1"/>
    <col min="17" max="17" width="1.6640625" style="2" customWidth="1"/>
    <col min="18" max="18" width="9.109375" style="2" customWidth="1"/>
    <col min="19" max="16384" width="9.109375" style="2"/>
  </cols>
  <sheetData>
    <row r="1" spans="1:20" ht="19.2" thickTop="1" thickBot="1" x14ac:dyDescent="0.35">
      <c r="F1" s="69" t="s">
        <v>54</v>
      </c>
      <c r="G1" s="70"/>
      <c r="H1" s="70"/>
      <c r="I1" s="70"/>
      <c r="J1" s="70"/>
      <c r="K1" s="70"/>
      <c r="L1" s="70"/>
      <c r="M1" s="70"/>
      <c r="N1" s="70"/>
      <c r="O1" s="70"/>
      <c r="T1" s="21"/>
    </row>
    <row r="2" spans="1:20" ht="15" customHeight="1" thickTop="1" thickBot="1" x14ac:dyDescent="0.35">
      <c r="F2" s="71" t="s">
        <v>0</v>
      </c>
      <c r="G2" s="71"/>
      <c r="H2" s="71"/>
      <c r="I2" s="71"/>
      <c r="J2" s="71" t="s">
        <v>6</v>
      </c>
      <c r="K2" s="71"/>
      <c r="L2" s="71"/>
      <c r="M2" s="71"/>
      <c r="N2" s="71"/>
      <c r="O2" s="71"/>
    </row>
    <row r="3" spans="1:20" ht="6.9" customHeight="1" thickTop="1" x14ac:dyDescent="0.3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</row>
    <row r="4" spans="1:20" ht="6.9" customHeight="1" thickBot="1" x14ac:dyDescent="0.35">
      <c r="A4" s="68"/>
      <c r="Q4" s="68"/>
    </row>
    <row r="5" spans="1:20" ht="15.75" customHeight="1" thickTop="1" thickBot="1" x14ac:dyDescent="0.35">
      <c r="A5" s="68"/>
      <c r="C5" s="3" t="s">
        <v>7</v>
      </c>
      <c r="D5" s="66"/>
      <c r="E5" s="67"/>
      <c r="F5" s="67"/>
      <c r="G5" s="24"/>
      <c r="H5" s="27" t="s">
        <v>1</v>
      </c>
      <c r="I5" s="1">
        <f>L5+N5</f>
        <v>0</v>
      </c>
      <c r="K5" s="3" t="s">
        <v>74</v>
      </c>
      <c r="L5" s="1">
        <f>SUBTOTAL(9,Table13492[Fuel Amount])</f>
        <v>0</v>
      </c>
      <c r="M5" s="3" t="s">
        <v>75</v>
      </c>
      <c r="N5" s="1">
        <f>SUBTOTAL(9,Table13492[Karta Amount])</f>
        <v>0</v>
      </c>
      <c r="O5" s="25"/>
      <c r="Q5" s="68"/>
    </row>
    <row r="6" spans="1:20" ht="6.9" customHeight="1" thickTop="1" x14ac:dyDescent="0.3">
      <c r="A6" s="68"/>
      <c r="C6" s="43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Q6" s="68"/>
    </row>
    <row r="7" spans="1:20" ht="8.1" customHeight="1" x14ac:dyDescent="0.3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</row>
    <row r="8" spans="1:20" ht="9.9" customHeight="1" x14ac:dyDescent="0.3">
      <c r="A8" s="68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8"/>
    </row>
    <row r="9" spans="1:20" ht="16.2" thickBot="1" x14ac:dyDescent="0.35">
      <c r="A9" s="68"/>
      <c r="B9" s="6"/>
      <c r="C9" s="36" t="s">
        <v>13</v>
      </c>
      <c r="D9" s="36" t="s">
        <v>14</v>
      </c>
      <c r="E9" s="37" t="s">
        <v>8</v>
      </c>
      <c r="F9" s="37" t="s">
        <v>9</v>
      </c>
      <c r="G9" s="37" t="s">
        <v>64</v>
      </c>
      <c r="H9" s="37" t="s">
        <v>44</v>
      </c>
      <c r="I9" s="37" t="s">
        <v>45</v>
      </c>
      <c r="J9" s="38" t="s">
        <v>48</v>
      </c>
      <c r="K9" s="38" t="s">
        <v>51</v>
      </c>
      <c r="L9" s="38" t="s">
        <v>49</v>
      </c>
      <c r="M9" s="38" t="s">
        <v>62</v>
      </c>
      <c r="N9" s="38" t="s">
        <v>63</v>
      </c>
      <c r="O9" s="38" t="s">
        <v>31</v>
      </c>
      <c r="Q9" s="68"/>
    </row>
    <row r="10" spans="1:20" thickTop="1" x14ac:dyDescent="0.3">
      <c r="A10" s="68"/>
      <c r="B10" s="6"/>
      <c r="C10" s="47"/>
      <c r="D10" s="57"/>
      <c r="E10" s="51"/>
      <c r="F10" s="49"/>
      <c r="G10" s="49"/>
      <c r="H10" s="55"/>
      <c r="I10" s="39"/>
      <c r="J10" s="50"/>
      <c r="K10" s="52"/>
      <c r="L10" s="53"/>
      <c r="M10" s="52"/>
      <c r="N10" s="50"/>
      <c r="O10" s="50"/>
      <c r="Q10" s="68"/>
    </row>
    <row r="11" spans="1:20" ht="14.4" x14ac:dyDescent="0.3">
      <c r="A11" s="68"/>
      <c r="B11" s="6"/>
      <c r="C11" s="47"/>
      <c r="D11" s="58"/>
      <c r="E11" s="51"/>
      <c r="F11" s="49"/>
      <c r="G11" s="49"/>
      <c r="H11" s="55"/>
      <c r="I11" s="39"/>
      <c r="J11" s="50"/>
      <c r="K11" s="52"/>
      <c r="L11" s="52"/>
      <c r="M11" s="52"/>
      <c r="N11" s="50"/>
      <c r="O11" s="50"/>
      <c r="Q11" s="68"/>
    </row>
    <row r="12" spans="1:20" ht="14.4" x14ac:dyDescent="0.3">
      <c r="A12" s="68"/>
      <c r="B12" s="6"/>
      <c r="C12" s="47"/>
      <c r="D12" s="58"/>
      <c r="E12" s="51"/>
      <c r="F12" s="49"/>
      <c r="G12" s="49"/>
      <c r="H12" s="55"/>
      <c r="I12" s="39"/>
      <c r="J12" s="50"/>
      <c r="K12" s="52"/>
      <c r="L12" s="52"/>
      <c r="M12" s="52"/>
      <c r="N12" s="50"/>
      <c r="O12" s="50"/>
      <c r="Q12" s="68"/>
    </row>
    <row r="13" spans="1:20" ht="14.4" x14ac:dyDescent="0.3">
      <c r="A13" s="68"/>
      <c r="B13" s="6"/>
      <c r="C13" s="47"/>
      <c r="D13" s="58"/>
      <c r="E13" s="51"/>
      <c r="F13" s="49"/>
      <c r="G13" s="49"/>
      <c r="H13" s="55"/>
      <c r="I13" s="39"/>
      <c r="J13" s="50"/>
      <c r="K13" s="52"/>
      <c r="L13" s="52"/>
      <c r="M13" s="52"/>
      <c r="N13" s="50"/>
      <c r="O13" s="50"/>
      <c r="Q13" s="68"/>
    </row>
    <row r="14" spans="1:20" ht="14.4" x14ac:dyDescent="0.3">
      <c r="A14" s="68"/>
      <c r="B14" s="6"/>
      <c r="C14" s="47"/>
      <c r="D14" s="48"/>
      <c r="E14" s="51"/>
      <c r="F14" s="49"/>
      <c r="G14" s="49"/>
      <c r="H14" s="55"/>
      <c r="I14" s="39"/>
      <c r="J14" s="50"/>
      <c r="K14" s="52"/>
      <c r="L14" s="52"/>
      <c r="M14" s="52"/>
      <c r="N14" s="50"/>
      <c r="O14" s="50"/>
      <c r="Q14" s="68"/>
    </row>
    <row r="15" spans="1:20" ht="14.4" x14ac:dyDescent="0.3">
      <c r="A15" s="68"/>
      <c r="B15" s="6"/>
      <c r="C15" s="47"/>
      <c r="D15" s="48"/>
      <c r="E15" s="51"/>
      <c r="F15" s="49"/>
      <c r="G15" s="49"/>
      <c r="H15" s="55"/>
      <c r="I15" s="39"/>
      <c r="J15" s="50"/>
      <c r="K15" s="52"/>
      <c r="L15" s="52"/>
      <c r="M15" s="52"/>
      <c r="N15" s="50"/>
      <c r="O15" s="50"/>
      <c r="Q15" s="68"/>
    </row>
    <row r="16" spans="1:20" ht="14.4" x14ac:dyDescent="0.3">
      <c r="A16" s="68"/>
      <c r="B16" s="6"/>
      <c r="C16" s="47"/>
      <c r="D16" s="48"/>
      <c r="E16" s="51"/>
      <c r="F16" s="49"/>
      <c r="G16" s="49"/>
      <c r="H16" s="55"/>
      <c r="I16" s="39"/>
      <c r="J16" s="50"/>
      <c r="K16" s="52"/>
      <c r="L16" s="53"/>
      <c r="M16" s="52"/>
      <c r="N16" s="50"/>
      <c r="O16" s="50"/>
      <c r="Q16" s="68"/>
    </row>
    <row r="17" spans="1:17" ht="14.4" x14ac:dyDescent="0.3">
      <c r="A17" s="68"/>
      <c r="B17" s="6"/>
      <c r="C17" s="34"/>
      <c r="D17" s="51"/>
      <c r="E17" s="51"/>
      <c r="F17" s="49"/>
      <c r="G17" s="49"/>
      <c r="H17" s="39"/>
      <c r="I17" s="39"/>
      <c r="J17" s="50"/>
      <c r="K17" s="51"/>
      <c r="L17" s="52"/>
      <c r="M17" s="52"/>
      <c r="N17" s="50"/>
      <c r="O17" s="33"/>
      <c r="Q17" s="68"/>
    </row>
    <row r="18" spans="1:17" ht="14.4" x14ac:dyDescent="0.3">
      <c r="A18" s="68"/>
      <c r="B18" s="6"/>
      <c r="C18" s="34"/>
      <c r="D18" s="51"/>
      <c r="E18" s="51"/>
      <c r="F18" s="49"/>
      <c r="G18" s="51"/>
      <c r="H18" s="39"/>
      <c r="I18" s="39"/>
      <c r="J18" s="50"/>
      <c r="K18" s="51"/>
      <c r="L18" s="52"/>
      <c r="M18" s="52"/>
      <c r="N18" s="50"/>
      <c r="O18" s="33"/>
      <c r="Q18" s="68"/>
    </row>
    <row r="19" spans="1:17" ht="14.4" x14ac:dyDescent="0.3">
      <c r="A19" s="68"/>
      <c r="B19" s="6"/>
      <c r="C19" s="47"/>
      <c r="D19" s="48"/>
      <c r="E19" s="51"/>
      <c r="F19" s="49"/>
      <c r="G19" s="51"/>
      <c r="H19" s="39"/>
      <c r="I19" s="39"/>
      <c r="J19" s="50"/>
      <c r="K19" s="52"/>
      <c r="L19" s="52"/>
      <c r="M19" s="52"/>
      <c r="N19" s="50"/>
      <c r="O19" s="51"/>
      <c r="Q19" s="68"/>
    </row>
    <row r="20" spans="1:17" ht="14.4" x14ac:dyDescent="0.3">
      <c r="A20" s="68"/>
      <c r="B20" s="6"/>
      <c r="C20" s="47"/>
      <c r="D20" s="48"/>
      <c r="E20" s="51"/>
      <c r="F20" s="49"/>
      <c r="G20" s="51"/>
      <c r="H20" s="39"/>
      <c r="I20" s="39"/>
      <c r="J20" s="50"/>
      <c r="K20" s="52"/>
      <c r="L20" s="52"/>
      <c r="M20" s="52"/>
      <c r="N20" s="50"/>
      <c r="O20" s="51"/>
      <c r="Q20" s="68"/>
    </row>
    <row r="21" spans="1:17" ht="14.4" x14ac:dyDescent="0.3">
      <c r="A21" s="68"/>
      <c r="B21" s="6"/>
      <c r="C21" s="47"/>
      <c r="D21" s="48"/>
      <c r="E21" s="51"/>
      <c r="F21" s="49"/>
      <c r="G21" s="51"/>
      <c r="H21" s="39"/>
      <c r="I21" s="39"/>
      <c r="J21" s="50"/>
      <c r="K21" s="52"/>
      <c r="L21" s="52"/>
      <c r="M21" s="52"/>
      <c r="N21" s="50"/>
      <c r="O21" s="51"/>
      <c r="Q21" s="68"/>
    </row>
    <row r="22" spans="1:17" ht="14.4" x14ac:dyDescent="0.3">
      <c r="A22" s="68"/>
      <c r="B22" s="6"/>
      <c r="C22" s="47"/>
      <c r="D22" s="48"/>
      <c r="E22" s="51"/>
      <c r="F22" s="49"/>
      <c r="G22" s="51"/>
      <c r="H22" s="39"/>
      <c r="I22" s="39"/>
      <c r="J22" s="50"/>
      <c r="K22" s="52"/>
      <c r="L22" s="52"/>
      <c r="M22" s="52"/>
      <c r="N22" s="50"/>
      <c r="O22" s="51"/>
      <c r="Q22" s="68"/>
    </row>
    <row r="23" spans="1:17" ht="14.4" x14ac:dyDescent="0.3">
      <c r="A23" s="68"/>
      <c r="B23" s="6"/>
      <c r="C23" s="47"/>
      <c r="D23" s="48"/>
      <c r="E23" s="51"/>
      <c r="F23" s="49"/>
      <c r="G23" s="51"/>
      <c r="H23" s="39"/>
      <c r="I23" s="39"/>
      <c r="J23" s="50"/>
      <c r="K23" s="52"/>
      <c r="L23" s="52"/>
      <c r="M23" s="52"/>
      <c r="N23" s="50"/>
      <c r="O23" s="51"/>
      <c r="Q23" s="68"/>
    </row>
    <row r="24" spans="1:17" ht="14.4" x14ac:dyDescent="0.3">
      <c r="A24" s="68"/>
      <c r="B24" s="6"/>
      <c r="C24" s="47"/>
      <c r="D24" s="48"/>
      <c r="E24" s="51"/>
      <c r="F24" s="49"/>
      <c r="G24" s="51"/>
      <c r="H24" s="39"/>
      <c r="I24" s="39"/>
      <c r="J24" s="50"/>
      <c r="K24" s="52"/>
      <c r="L24" s="52"/>
      <c r="M24" s="52"/>
      <c r="N24" s="50"/>
      <c r="O24" s="51"/>
      <c r="Q24" s="68"/>
    </row>
    <row r="25" spans="1:17" ht="14.4" x14ac:dyDescent="0.3">
      <c r="A25" s="68"/>
      <c r="B25" s="6"/>
      <c r="C25" s="30"/>
      <c r="D25" s="35"/>
      <c r="E25" s="35"/>
      <c r="F25" s="46"/>
      <c r="G25" s="35"/>
      <c r="H25" s="40"/>
      <c r="I25" s="40"/>
      <c r="J25" s="31"/>
      <c r="K25" s="51"/>
      <c r="L25" s="41"/>
      <c r="M25" s="42"/>
      <c r="N25" s="31"/>
      <c r="O25" s="32"/>
      <c r="Q25" s="68"/>
    </row>
    <row r="26" spans="1:17" ht="14.4" x14ac:dyDescent="0.3">
      <c r="A26" s="68"/>
      <c r="B26" s="6"/>
      <c r="C26" s="30"/>
      <c r="D26" s="35"/>
      <c r="E26" s="35"/>
      <c r="F26" s="46"/>
      <c r="G26" s="35"/>
      <c r="H26" s="40"/>
      <c r="I26" s="40"/>
      <c r="J26" s="31"/>
      <c r="K26" s="51"/>
      <c r="L26" s="41"/>
      <c r="M26" s="42"/>
      <c r="N26" s="31"/>
      <c r="O26" s="32"/>
      <c r="Q26" s="68"/>
    </row>
    <row r="27" spans="1:17" ht="14.4" x14ac:dyDescent="0.3">
      <c r="A27" s="68"/>
      <c r="B27" s="6"/>
      <c r="C27" s="30"/>
      <c r="D27" s="35"/>
      <c r="E27" s="35"/>
      <c r="F27" s="49"/>
      <c r="G27" s="51"/>
      <c r="H27" s="40"/>
      <c r="I27" s="40"/>
      <c r="J27" s="31"/>
      <c r="K27" s="51"/>
      <c r="L27" s="41"/>
      <c r="M27" s="41"/>
      <c r="N27" s="31"/>
      <c r="O27" s="33"/>
      <c r="Q27" s="68"/>
    </row>
    <row r="28" spans="1:17" ht="6.9" customHeight="1" x14ac:dyDescent="0.3">
      <c r="A28" s="68"/>
      <c r="Q28" s="68"/>
    </row>
    <row r="29" spans="1:17" ht="6.9" customHeight="1" x14ac:dyDescent="0.3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</row>
    <row r="30" spans="1:17" thickBot="1" x14ac:dyDescent="0.35"/>
    <row r="31" spans="1:17" ht="19.5" customHeight="1" thickTop="1" thickBot="1" x14ac:dyDescent="0.45">
      <c r="B31" s="7"/>
      <c r="C31" s="8"/>
      <c r="D31" s="8"/>
      <c r="E31" s="8" t="s">
        <v>4</v>
      </c>
      <c r="F31" s="8"/>
      <c r="G31" s="8"/>
      <c r="H31" s="8"/>
      <c r="I31" s="8"/>
      <c r="J31" s="8" t="s">
        <v>3</v>
      </c>
      <c r="K31" s="9"/>
      <c r="L31" s="9"/>
      <c r="M31" s="8" t="s">
        <v>2</v>
      </c>
      <c r="N31" s="28"/>
      <c r="O31" s="20" t="s">
        <v>52</v>
      </c>
      <c r="P31" s="10"/>
    </row>
    <row r="32" spans="1:17" ht="22.2" thickTop="1" thickBot="1" x14ac:dyDescent="0.45">
      <c r="B32" s="11"/>
      <c r="C32" s="12"/>
      <c r="D32" s="12"/>
      <c r="E32" s="12"/>
      <c r="F32" s="12"/>
      <c r="G32" s="12"/>
      <c r="H32" s="12"/>
      <c r="I32" s="12"/>
      <c r="N32" s="29"/>
      <c r="O32" s="22"/>
      <c r="P32" s="13"/>
    </row>
    <row r="33" spans="2:16" ht="22.2" thickTop="1" thickBot="1" x14ac:dyDescent="0.45">
      <c r="B33" s="14"/>
      <c r="C33" s="19">
        <f ca="1">TODAY()</f>
        <v>46079</v>
      </c>
      <c r="D33" s="15" t="s">
        <v>5</v>
      </c>
      <c r="E33" s="16"/>
      <c r="F33" s="16"/>
      <c r="G33" s="16"/>
      <c r="H33" s="17"/>
      <c r="I33" s="17"/>
      <c r="J33" s="17"/>
      <c r="K33" s="17"/>
      <c r="L33" s="17"/>
      <c r="M33" s="17"/>
      <c r="N33" s="17"/>
      <c r="O33" s="17"/>
      <c r="P33" s="18"/>
    </row>
    <row r="34" spans="2:16" thickTop="1" x14ac:dyDescent="0.3"/>
  </sheetData>
  <mergeCells count="9">
    <mergeCell ref="Q3:Q29"/>
    <mergeCell ref="F1:O1"/>
    <mergeCell ref="F2:I2"/>
    <mergeCell ref="J2:O2"/>
    <mergeCell ref="A3:A29"/>
    <mergeCell ref="B3:P3"/>
    <mergeCell ref="D5:F5"/>
    <mergeCell ref="B7:P7"/>
    <mergeCell ref="B29:P29"/>
  </mergeCells>
  <pageMargins left="0" right="0" top="0" bottom="0" header="0" footer="0"/>
  <pageSetup paperSize="9" scale="93" orientation="landscape" horizontalDpi="1200" verticalDpi="12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F10F3-9650-494C-AE17-A3AF9B2D6E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List</vt:lpstr>
      <vt:lpstr>Expenses Tracking</vt:lpstr>
      <vt:lpstr>Fuel Tracking</vt:lpstr>
      <vt:lpstr>'Expenses Tracking'!Print_Area</vt:lpstr>
    </vt:vector>
  </TitlesOfParts>
  <Company>by 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</dc:creator>
  <cp:lastModifiedBy>Khaled El-Sherbiny</cp:lastModifiedBy>
  <cp:lastPrinted>2025-03-23T09:34:02Z</cp:lastPrinted>
  <dcterms:created xsi:type="dcterms:W3CDTF">2017-10-03T11:34:54Z</dcterms:created>
  <dcterms:modified xsi:type="dcterms:W3CDTF">2026-02-25T22:23:49Z</dcterms:modified>
</cp:coreProperties>
</file>